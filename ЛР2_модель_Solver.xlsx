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 activeTab="2"/>
  </bookViews>
  <sheets>
    <sheet name="Отчет об устойчивости 1" sheetId="5" r:id="rId1"/>
    <sheet name="Отчет об устойчивости 2" sheetId="6" r:id="rId2"/>
    <sheet name="Модель" sheetId="1" r:id="rId3"/>
    <sheet name="Розрахунок стійкості" sheetId="2" r:id="rId4"/>
    <sheet name="Налаштування Solver" sheetId="3" r:id="rId5"/>
  </sheets>
  <definedNames>
    <definedName name="solver_adj" localSheetId="2" hidden="1">Модель!$C$8:$F$8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Модель!$C$8:$F$8</definedName>
    <definedName name="solver_lhs2" localSheetId="2" hidden="1">Модель!$G$12:$G$16</definedName>
    <definedName name="solver_lhs3" localSheetId="2" hidden="1">Модель!$I$14</definedName>
    <definedName name="solver_lhs4" localSheetId="2" hidden="1">Модель!$I$16</definedName>
    <definedName name="solver_lhs5" localSheetId="2" hidden="1">Модель!$I$16</definedName>
    <definedName name="solver_lhs6" localSheetId="2" hidden="1">Модель!$I$16</definedName>
    <definedName name="solver_lhs7" localSheetId="2" hidden="1">Модель!$I$16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Модель!$G$8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1</definedName>
    <definedName name="solver_rel3" localSheetId="2" hidden="1">3</definedName>
    <definedName name="solver_rel4" localSheetId="2" hidden="1">3</definedName>
    <definedName name="solver_rel5" localSheetId="2" hidden="1">3</definedName>
    <definedName name="solver_rel6" localSheetId="2" hidden="1">3</definedName>
    <definedName name="solver_rel7" localSheetId="2" hidden="1">3</definedName>
    <definedName name="solver_rhs1" localSheetId="2" hidden="1">0</definedName>
    <definedName name="solver_rhs2" localSheetId="2" hidden="1">Модель!$H$12:$H$16</definedName>
    <definedName name="solver_rhs3" localSheetId="2" hidden="1">0</definedName>
    <definedName name="solver_rhs4" localSheetId="2" hidden="1">0</definedName>
    <definedName name="solver_rhs5" localSheetId="2" hidden="1">0</definedName>
    <definedName name="solver_rhs6" localSheetId="2" hidden="1">0</definedName>
    <definedName name="solver_rhs7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44525"/>
</workbook>
</file>

<file path=xl/calcChain.xml><?xml version="1.0" encoding="utf-8"?>
<calcChain xmlns="http://schemas.openxmlformats.org/spreadsheetml/2006/main">
  <c r="G8" i="1" l="1"/>
  <c r="G16" i="1"/>
  <c r="I16" i="1" s="1"/>
  <c r="G15" i="1"/>
  <c r="I15" i="1" s="1"/>
  <c r="G14" i="1"/>
  <c r="I14" i="1" s="1"/>
  <c r="G13" i="1"/>
  <c r="I13" i="1" s="1"/>
  <c r="G12" i="1"/>
  <c r="I12" i="1" s="1"/>
</calcChain>
</file>

<file path=xl/sharedStrings.xml><?xml version="1.0" encoding="utf-8"?>
<sst xmlns="http://schemas.openxmlformats.org/spreadsheetml/2006/main" count="183" uniqueCount="104">
  <si>
    <t>Лабораторна робота №2 — виробнича задача</t>
  </si>
  <si>
    <t>Лопатін Володимир Дмитрович · ШІ-31 · варіант 12</t>
  </si>
  <si>
    <t>«Друк-Сервіс»: максимум прибутку, тис. прим./тиждень</t>
  </si>
  <si>
    <t>Вироби</t>
  </si>
  <si>
    <t>Буклет</t>
  </si>
  <si>
    <t>Каталог</t>
  </si>
  <si>
    <t>Календар</t>
  </si>
  <si>
    <t>Плакат</t>
  </si>
  <si>
    <t>Прибуток з одиниці</t>
  </si>
  <si>
    <t>Загальний прибуток</t>
  </si>
  <si>
    <t>Випуск (змінні Solver)</t>
  </si>
  <si>
    <t>Ресурс</t>
  </si>
  <si>
    <t>Використано</t>
  </si>
  <si>
    <t>Запас</t>
  </si>
  <si>
    <t>Залишок</t>
  </si>
  <si>
    <t>Крейдований папір, кг</t>
  </si>
  <si>
    <t>Офсетний папір, кг</t>
  </si>
  <si>
    <t>Фарба, кг</t>
  </si>
  <si>
    <t>Друкарська машина, год</t>
  </si>
  <si>
    <t>Різка й фальцювання, год</t>
  </si>
  <si>
    <t>Пропозиція постачальника</t>
  </si>
  <si>
    <t>Solver: максимізувати G8, змінюючи C8:F8; G12:G16 &lt;= H12:H16; C8:F8 &gt;= 0; Simplex LP.</t>
  </si>
  <si>
    <t>Звіт про стійкість формується Excel Solver на окремому аркуші.</t>
  </si>
  <si>
    <t>Поточні значення C8:F8 отримано незалежно в Python; запустіть Solver для нативного звіту.</t>
  </si>
  <si>
    <t>Розрахунок стійкості (Python LP, не нативний звіт Excel Solver)</t>
  </si>
  <si>
    <t>Відтворено з оптимального базису; числа слід звірити з нативним звітом Solver.</t>
  </si>
  <si>
    <t>Кінцеве значення</t>
  </si>
  <si>
    <t>Тіньова ціна</t>
  </si>
  <si>
    <t>Права частина</t>
  </si>
  <si>
    <t>Допустиме збільшення</t>
  </si>
  <si>
    <t>Допустиме зменшення</t>
  </si>
  <si>
    <t>∞</t>
  </si>
  <si>
    <t>Виріб</t>
  </si>
  <si>
    <t>Зведена вартість</t>
  </si>
  <si>
    <t>Цільовий коефіцієнт</t>
  </si>
  <si>
    <t>Параметр</t>
  </si>
  <si>
    <t>Значення</t>
  </si>
  <si>
    <t>Цільова клітинка</t>
  </si>
  <si>
    <t>Модель!$G$8</t>
  </si>
  <si>
    <t>Оптимізація</t>
  </si>
  <si>
    <t>Максимум</t>
  </si>
  <si>
    <t>Змінні клітинки</t>
  </si>
  <si>
    <t>Модель!$C$8:$F$8</t>
  </si>
  <si>
    <t>Ресурсні обмеження</t>
  </si>
  <si>
    <t>Модель!$G$12:$G$16 &lt;= Модель!$H$12:$H$16</t>
  </si>
  <si>
    <t>Невід'ємність</t>
  </si>
  <si>
    <t>Модель!$C$8:$F$8 &gt;= 0</t>
  </si>
  <si>
    <t>Метод</t>
  </si>
  <si>
    <t>Симплекс-метод для лінійних задач (Simplex LP)</t>
  </si>
  <si>
    <t>Після розв'язання</t>
  </si>
  <si>
    <t>Зберегти план і обрати «Звіт про стійкість»</t>
  </si>
  <si>
    <t>Скріншот діалогу</t>
  </si>
  <si>
    <t>Потрібно додати вручну після запуску Excel Solver</t>
  </si>
  <si>
    <t>Microsoft Excel 14.0 Отчет об устойчивости</t>
  </si>
  <si>
    <t>Лист: [ЛР2_модель_Solver.xlsx]Модель</t>
  </si>
  <si>
    <t>Ячейки переменных</t>
  </si>
  <si>
    <t>Ячейка</t>
  </si>
  <si>
    <t>Имя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</si>
  <si>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</si>
  <si>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</si>
  <si>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</si>
  <si>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</si>
  <si>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</si>
  <si>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</si>
  <si>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</si>
  <si>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</si>
  <si>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</si>
  <si>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Ограничения</t>
  </si>
  <si>
    <t>Тень</t>
  </si>
  <si>
    <t>Цена</t>
  </si>
  <si>
    <t>Ограничение</t>
  </si>
  <si>
    <t>Правая сторона</t>
  </si>
  <si>
    <t>$C$8</t>
  </si>
  <si>
    <t>Випуск (змінні Solver) Буклет</t>
  </si>
  <si>
    <t>$D$8</t>
  </si>
  <si>
    <t>Випуск (змінні Solver) Каталог</t>
  </si>
  <si>
    <t>$E$8</t>
  </si>
  <si>
    <t>Випуск (змінні Solver) Календар</t>
  </si>
  <si>
    <t>$F$8</t>
  </si>
  <si>
    <t>Випуск (змінні Solver) Плакат</t>
  </si>
  <si>
    <t>$I$12</t>
  </si>
  <si>
    <t>Крейдований папір, кг Залишок</t>
  </si>
  <si>
    <t>$I$13</t>
  </si>
  <si>
    <t>Офсетний папір, кг Залишок</t>
  </si>
  <si>
    <t>$I$14</t>
  </si>
  <si>
    <t>Фарба, кг Залишок</t>
  </si>
  <si>
    <t>$I$15</t>
  </si>
  <si>
    <t>Друкарська машина, год Залишок</t>
  </si>
  <si>
    <t>$I$16</t>
  </si>
  <si>
    <t>Різка й фальцювання, год Залишок</t>
  </si>
  <si>
    <t>$C$8:$F$8</t>
  </si>
  <si>
    <t>Отчет создан: 09.10.2026 11:28:32</t>
  </si>
  <si>
    <t>$G$12</t>
  </si>
  <si>
    <t>Крейдований папір, кг Використано</t>
  </si>
  <si>
    <t>$G$13</t>
  </si>
  <si>
    <t>Офсетний папір, кг Використано</t>
  </si>
  <si>
    <t>$G$14</t>
  </si>
  <si>
    <t>Фарба, кг Використано</t>
  </si>
  <si>
    <t>$G$15</t>
  </si>
  <si>
    <t>Друкарська машина, год Використано</t>
  </si>
  <si>
    <t>$G$16</t>
  </si>
  <si>
    <t>Різка й фальцювання, год Використано</t>
  </si>
  <si>
    <t>$G$12:$G$16 &lt;= $H$12:$H$16</t>
  </si>
  <si>
    <t>Отчет создан: 09.10.2026 11:32:43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</si>
</sst>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1"/>
      <color theme="1"/>
      <name val="Calibri"/>
      <scheme val="minor"/>
    </font>
    <font>
      <b/>
      <sz val="14"/>
      <color rgb="FF17365D"/>
      <name val="Calibri"/>
    </font>
    <font>
      <b/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FF0B3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4" fillId="0" borderId="0" xfId="0" applyFont="1"/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/>
  </sheetViews>
  <sheetFormatPr defaultRowHeight="14.4" outlineLevelRow="1" x14ac:dyDescent="0.3"/>
  <cols>
    <col min="1" max="1" width="2.33203125" customWidth="1"/>
    <col min="2" max="2" width="7.21875" customWidth="1"/>
    <col min="3" max="3" width="35.21875" bestFit="1" customWidth="1"/>
    <col min="4" max="4" width="14.6640625" bestFit="1" customWidth="1"/>
    <col min="5" max="5" width="12.6640625" bestFit="1" customWidth="1"/>
    <col min="6" max="6" width="16.5546875" bestFit="1" customWidth="1"/>
    <col min="7" max="7" width="12" bestFit="1" customWidth="1"/>
    <col min="8" max="8" width="12.44140625" bestFit="1" customWidth="1"/>
  </cols>
  <sheetData>
    <row r="1" spans="1:8" x14ac:dyDescent="0.3">
      <c r="A1" s="11" t="s">
        <v>53</v>
      </c>
    </row>
    <row r="2" spans="1:8" x14ac:dyDescent="0.3">
      <c r="A2" s="11" t="s">
        <v>54</v>
      </c>
    </row>
    <row r="3" spans="1:8" x14ac:dyDescent="0.3">
      <c r="A3" s="11" t="s">
        <v>91</v>
      </c>
    </row>
    <row r="6" spans="1:8" ht="15" thickBot="1" x14ac:dyDescent="0.35">
      <c r="A6" t="s">
        <v>55</v>
      </c>
    </row>
    <row r="7" spans="1:8" x14ac:dyDescent="0.3">
      <c r="B7" s="15"/>
      <c r="C7" s="15"/>
      <c r="D7" s="15" t="s">
        <v>58</v>
      </c>
      <c r="E7" s="15" t="s">
        <v>60</v>
      </c>
      <c r="F7" s="15" t="s">
        <v>62</v>
      </c>
      <c r="G7" s="15" t="s">
        <v>64</v>
      </c>
      <c r="H7" s="15" t="s">
        <v>64</v>
      </c>
    </row>
    <row r="8" spans="1:8" ht="15" thickBot="1" x14ac:dyDescent="0.35">
      <c r="B8" s="16" t="s">
        <v>56</v>
      </c>
      <c r="C8" s="16" t="s">
        <v>57</v>
      </c>
      <c r="D8" s="16" t="s">
        <v>59</v>
      </c>
      <c r="E8" s="16" t="s">
        <v>61</v>
      </c>
      <c r="F8" s="16" t="s">
        <v>63</v>
      </c>
      <c r="G8" s="16" t="s">
        <v>65</v>
      </c>
      <c r="H8" s="16" t="s">
        <v>66</v>
      </c>
    </row>
    <row r="9" spans="1:8" x14ac:dyDescent="0.3">
      <c r="B9" s="18" t="s">
        <v>90</v>
      </c>
      <c r="C9" s="17"/>
      <c r="D9" s="17"/>
      <c r="E9" s="17"/>
      <c r="F9" s="17"/>
      <c r="G9" s="17"/>
      <c r="H9" s="17"/>
    </row>
    <row r="10" spans="1:8" hidden="1" outlineLevel="1" x14ac:dyDescent="0.3">
      <c r="B10" s="13" t="s">
        <v>72</v>
      </c>
      <c r="C10" s="13" t="s">
        <v>73</v>
      </c>
      <c r="D10" s="13">
        <v>0</v>
      </c>
      <c r="E10" s="13">
        <v>-15.333333333333332</v>
      </c>
      <c r="F10" s="13">
        <v>39</v>
      </c>
      <c r="G10" s="13">
        <v>15.333333333333332</v>
      </c>
      <c r="H10" s="13">
        <v>1E+30</v>
      </c>
    </row>
    <row r="11" spans="1:8" hidden="1" outlineLevel="1" x14ac:dyDescent="0.3">
      <c r="B11" s="13" t="s">
        <v>74</v>
      </c>
      <c r="C11" s="13" t="s">
        <v>75</v>
      </c>
      <c r="D11" s="13">
        <v>73.291666666666657</v>
      </c>
      <c r="E11" s="13">
        <v>0</v>
      </c>
      <c r="F11" s="13">
        <v>55</v>
      </c>
      <c r="G11" s="13">
        <v>53.000000000000007</v>
      </c>
      <c r="H11" s="13">
        <v>33.4</v>
      </c>
    </row>
    <row r="12" spans="1:8" hidden="1" outlineLevel="1" x14ac:dyDescent="0.3">
      <c r="B12" s="13" t="s">
        <v>76</v>
      </c>
      <c r="C12" s="13" t="s">
        <v>77</v>
      </c>
      <c r="D12" s="13">
        <v>47.625</v>
      </c>
      <c r="E12" s="13">
        <v>0</v>
      </c>
      <c r="F12" s="13">
        <v>36</v>
      </c>
      <c r="G12" s="13">
        <v>55.666666666666657</v>
      </c>
      <c r="H12" s="13">
        <v>15.333333333333332</v>
      </c>
    </row>
    <row r="13" spans="1:8" ht="15" hidden="1" outlineLevel="1" thickBot="1" x14ac:dyDescent="0.35">
      <c r="B13" s="14" t="s">
        <v>78</v>
      </c>
      <c r="C13" s="14" t="s">
        <v>79</v>
      </c>
      <c r="D13" s="14">
        <v>0</v>
      </c>
      <c r="E13" s="14">
        <v>-19.5</v>
      </c>
      <c r="F13" s="14">
        <v>26</v>
      </c>
      <c r="G13" s="14">
        <v>19.5</v>
      </c>
      <c r="H13" s="14">
        <v>1E+30</v>
      </c>
    </row>
    <row r="14" spans="1:8" collapsed="1" x14ac:dyDescent="0.3">
      <c r="B14" s="12"/>
      <c r="C14" s="12"/>
      <c r="D14" s="12"/>
      <c r="E14" s="12"/>
      <c r="F14" s="12"/>
      <c r="G14" s="12"/>
      <c r="H14" s="12"/>
    </row>
    <row r="16" spans="1:8" ht="15" thickBot="1" x14ac:dyDescent="0.35">
      <c r="A16" t="s">
        <v>67</v>
      </c>
    </row>
    <row r="17" spans="2:8" x14ac:dyDescent="0.3">
      <c r="B17" s="15"/>
      <c r="C17" s="15"/>
      <c r="D17" s="15" t="s">
        <v>58</v>
      </c>
      <c r="E17" s="15" t="s">
        <v>68</v>
      </c>
      <c r="F17" s="15" t="s">
        <v>70</v>
      </c>
      <c r="G17" s="15" t="s">
        <v>64</v>
      </c>
      <c r="H17" s="15" t="s">
        <v>64</v>
      </c>
    </row>
    <row r="18" spans="2:8" ht="15" thickBot="1" x14ac:dyDescent="0.35">
      <c r="B18" s="16" t="s">
        <v>56</v>
      </c>
      <c r="C18" s="16" t="s">
        <v>57</v>
      </c>
      <c r="D18" s="16" t="s">
        <v>59</v>
      </c>
      <c r="E18" s="16" t="s">
        <v>69</v>
      </c>
      <c r="F18" s="16" t="s">
        <v>71</v>
      </c>
      <c r="G18" s="16" t="s">
        <v>65</v>
      </c>
      <c r="H18" s="16" t="s">
        <v>66</v>
      </c>
    </row>
    <row r="19" spans="2:8" x14ac:dyDescent="0.3">
      <c r="B19" s="18" t="s">
        <v>102</v>
      </c>
      <c r="C19" s="17"/>
      <c r="D19" s="17"/>
      <c r="E19" s="17"/>
      <c r="F19" s="17"/>
      <c r="G19" s="17"/>
      <c r="H19" s="17"/>
    </row>
    <row r="20" spans="2:8" hidden="1" outlineLevel="1" x14ac:dyDescent="0.3">
      <c r="B20" s="13" t="s">
        <v>92</v>
      </c>
      <c r="C20" s="13" t="s">
        <v>93</v>
      </c>
      <c r="D20" s="13">
        <v>146.58333333333331</v>
      </c>
      <c r="E20" s="13">
        <v>0</v>
      </c>
      <c r="F20" s="13">
        <v>788</v>
      </c>
      <c r="G20" s="13">
        <v>1E+30</v>
      </c>
      <c r="H20" s="13">
        <v>641.41666666666674</v>
      </c>
    </row>
    <row r="21" spans="2:8" hidden="1" outlineLevel="1" x14ac:dyDescent="0.3">
      <c r="B21" s="13" t="s">
        <v>94</v>
      </c>
      <c r="C21" s="13" t="s">
        <v>95</v>
      </c>
      <c r="D21" s="13">
        <v>216.16666666666666</v>
      </c>
      <c r="E21" s="13">
        <v>0</v>
      </c>
      <c r="F21" s="13">
        <v>661</v>
      </c>
      <c r="G21" s="13">
        <v>1E+30</v>
      </c>
      <c r="H21" s="13">
        <v>444.83333333333337</v>
      </c>
    </row>
    <row r="22" spans="2:8" hidden="1" outlineLevel="1" x14ac:dyDescent="0.3">
      <c r="B22" s="13" t="s">
        <v>96</v>
      </c>
      <c r="C22" s="13" t="s">
        <v>97</v>
      </c>
      <c r="D22" s="13">
        <v>458</v>
      </c>
      <c r="E22" s="13">
        <v>0</v>
      </c>
      <c r="F22" s="13">
        <v>458</v>
      </c>
      <c r="G22" s="13">
        <v>1E+30</v>
      </c>
      <c r="H22" s="13">
        <v>0</v>
      </c>
    </row>
    <row r="23" spans="2:8" hidden="1" outlineLevel="1" x14ac:dyDescent="0.3">
      <c r="B23" s="13" t="s">
        <v>98</v>
      </c>
      <c r="C23" s="13" t="s">
        <v>99</v>
      </c>
      <c r="D23" s="13">
        <v>578.91666666666663</v>
      </c>
      <c r="E23" s="13">
        <v>0</v>
      </c>
      <c r="F23" s="13">
        <v>1005</v>
      </c>
      <c r="G23" s="13">
        <v>1E+30</v>
      </c>
      <c r="H23" s="13">
        <v>426.08333333333337</v>
      </c>
    </row>
    <row r="24" spans="2:8" hidden="1" outlineLevel="1" x14ac:dyDescent="0.3">
      <c r="B24" s="13" t="s">
        <v>100</v>
      </c>
      <c r="C24" s="13" t="s">
        <v>101</v>
      </c>
      <c r="D24" s="13">
        <v>535</v>
      </c>
      <c r="E24" s="13">
        <v>0</v>
      </c>
      <c r="F24" s="13">
        <v>535</v>
      </c>
      <c r="G24" s="13">
        <v>1E+30</v>
      </c>
      <c r="H24" s="13">
        <v>0</v>
      </c>
    </row>
    <row r="25" spans="2:8" collapsed="1" x14ac:dyDescent="0.3">
      <c r="B25" s="13"/>
      <c r="C25" s="13"/>
      <c r="D25" s="13"/>
      <c r="E25" s="13"/>
      <c r="F25" s="13"/>
      <c r="G25" s="13"/>
      <c r="H25" s="13"/>
    </row>
    <row r="26" spans="2:8" x14ac:dyDescent="0.3">
      <c r="B26" s="13" t="s">
        <v>80</v>
      </c>
      <c r="C26" s="13" t="s">
        <v>81</v>
      </c>
      <c r="D26" s="13">
        <v>641.41666666666674</v>
      </c>
      <c r="E26" s="13">
        <v>0</v>
      </c>
      <c r="F26" s="13">
        <v>0</v>
      </c>
      <c r="G26" s="13">
        <v>641.41666666666674</v>
      </c>
      <c r="H26" s="13">
        <v>1E+30</v>
      </c>
    </row>
    <row r="27" spans="2:8" x14ac:dyDescent="0.3">
      <c r="B27" s="13" t="s">
        <v>82</v>
      </c>
      <c r="C27" s="13" t="s">
        <v>83</v>
      </c>
      <c r="D27" s="13">
        <v>444.83333333333337</v>
      </c>
      <c r="E27" s="13">
        <v>0</v>
      </c>
      <c r="F27" s="13">
        <v>0</v>
      </c>
      <c r="G27" s="13">
        <v>444.83333333333337</v>
      </c>
      <c r="H27" s="13">
        <v>1E+30</v>
      </c>
    </row>
    <row r="28" spans="2:8" x14ac:dyDescent="0.3">
      <c r="B28" s="13" t="s">
        <v>84</v>
      </c>
      <c r="C28" s="13" t="s">
        <v>85</v>
      </c>
      <c r="D28" s="13">
        <v>0</v>
      </c>
      <c r="E28" s="13">
        <v>-4.416666666666667</v>
      </c>
      <c r="F28" s="13">
        <v>0</v>
      </c>
      <c r="G28" s="13">
        <v>190.5</v>
      </c>
      <c r="H28" s="13">
        <v>0</v>
      </c>
    </row>
    <row r="29" spans="2:8" x14ac:dyDescent="0.3">
      <c r="B29" s="13" t="s">
        <v>86</v>
      </c>
      <c r="C29" s="13" t="s">
        <v>87</v>
      </c>
      <c r="D29" s="13">
        <v>426.08333333333337</v>
      </c>
      <c r="E29" s="13">
        <v>0</v>
      </c>
      <c r="F29" s="13">
        <v>0</v>
      </c>
      <c r="G29" s="13">
        <v>426.08333333333337</v>
      </c>
      <c r="H29" s="13">
        <v>1E+30</v>
      </c>
    </row>
    <row r="30" spans="2:8" ht="15" thickBot="1" x14ac:dyDescent="0.35">
      <c r="B30" s="14" t="s">
        <v>88</v>
      </c>
      <c r="C30" s="14" t="s">
        <v>89</v>
      </c>
      <c r="D30" s="14">
        <v>0</v>
      </c>
      <c r="E30" s="14">
        <v>-6.9583333333333321</v>
      </c>
      <c r="F30" s="14">
        <v>0</v>
      </c>
      <c r="G30" s="14">
        <v>351.8</v>
      </c>
      <c r="H30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workbookViewId="0">
      <selection activeCell="F31" sqref="F31"/>
    </sheetView>
  </sheetViews>
  <sheetFormatPr defaultRowHeight="14.4" outlineLevelRow="1" x14ac:dyDescent="0.3"/>
  <cols>
    <col min="1" max="1" width="2.33203125" customWidth="1"/>
    <col min="2" max="2" width="7.21875" customWidth="1"/>
    <col min="3" max="3" width="35.21875" bestFit="1" customWidth="1"/>
    <col min="4" max="4" width="14.6640625" bestFit="1" customWidth="1"/>
    <col min="5" max="5" width="12.6640625" bestFit="1" customWidth="1"/>
    <col min="6" max="6" width="16.5546875" bestFit="1" customWidth="1"/>
    <col min="7" max="7" width="12" bestFit="1" customWidth="1"/>
    <col min="8" max="8" width="12.44140625" bestFit="1" customWidth="1"/>
  </cols>
  <sheetData>
    <row r="1" spans="1:8" x14ac:dyDescent="0.3">
      <c r="A1" s="11" t="s">
        <v>53</v>
      </c>
    </row>
    <row r="2" spans="1:8" x14ac:dyDescent="0.3">
      <c r="A2" s="11" t="s">
        <v>54</v>
      </c>
    </row>
    <row r="3" spans="1:8" x14ac:dyDescent="0.3">
      <c r="A3" s="11" t="s">
        <v>103</v>
      </c>
    </row>
    <row r="6" spans="1:8" ht="15" thickBot="1" x14ac:dyDescent="0.35">
      <c r="A6" t="s">
        <v>55</v>
      </c>
    </row>
    <row r="7" spans="1:8" x14ac:dyDescent="0.3">
      <c r="B7" s="15"/>
      <c r="C7" s="15"/>
      <c r="D7" s="15" t="s">
        <v>58</v>
      </c>
      <c r="E7" s="15" t="s">
        <v>60</v>
      </c>
      <c r="F7" s="15" t="s">
        <v>62</v>
      </c>
      <c r="G7" s="15" t="s">
        <v>64</v>
      </c>
      <c r="H7" s="15" t="s">
        <v>64</v>
      </c>
    </row>
    <row r="8" spans="1:8" ht="15" thickBot="1" x14ac:dyDescent="0.35">
      <c r="B8" s="16" t="s">
        <v>56</v>
      </c>
      <c r="C8" s="16" t="s">
        <v>57</v>
      </c>
      <c r="D8" s="16" t="s">
        <v>59</v>
      </c>
      <c r="E8" s="16" t="s">
        <v>61</v>
      </c>
      <c r="F8" s="16" t="s">
        <v>63</v>
      </c>
      <c r="G8" s="16" t="s">
        <v>65</v>
      </c>
      <c r="H8" s="16" t="s">
        <v>66</v>
      </c>
    </row>
    <row r="9" spans="1:8" x14ac:dyDescent="0.3">
      <c r="B9" s="18" t="s">
        <v>90</v>
      </c>
      <c r="C9" s="17"/>
      <c r="D9" s="17"/>
      <c r="E9" s="17"/>
      <c r="F9" s="17"/>
      <c r="G9" s="17"/>
      <c r="H9" s="17"/>
    </row>
    <row r="10" spans="1:8" outlineLevel="1" x14ac:dyDescent="0.3">
      <c r="B10" s="13" t="s">
        <v>72</v>
      </c>
      <c r="C10" s="13" t="s">
        <v>73</v>
      </c>
      <c r="D10" s="13">
        <v>0</v>
      </c>
      <c r="E10" s="13">
        <v>-15.333333333333332</v>
      </c>
      <c r="F10" s="13">
        <v>39</v>
      </c>
      <c r="G10" s="13">
        <v>15.333333333333332</v>
      </c>
      <c r="H10" s="13">
        <v>1E+30</v>
      </c>
    </row>
    <row r="11" spans="1:8" outlineLevel="1" x14ac:dyDescent="0.3">
      <c r="B11" s="13" t="s">
        <v>74</v>
      </c>
      <c r="C11" s="13" t="s">
        <v>75</v>
      </c>
      <c r="D11" s="13">
        <v>73.291666666666657</v>
      </c>
      <c r="E11" s="13">
        <v>0</v>
      </c>
      <c r="F11" s="13">
        <v>55</v>
      </c>
      <c r="G11" s="13">
        <v>53.000000000000007</v>
      </c>
      <c r="H11" s="13">
        <v>33.4</v>
      </c>
    </row>
    <row r="12" spans="1:8" outlineLevel="1" x14ac:dyDescent="0.3">
      <c r="B12" s="13" t="s">
        <v>76</v>
      </c>
      <c r="C12" s="13" t="s">
        <v>77</v>
      </c>
      <c r="D12" s="13">
        <v>47.625</v>
      </c>
      <c r="E12" s="13">
        <v>0</v>
      </c>
      <c r="F12" s="13">
        <v>36</v>
      </c>
      <c r="G12" s="13">
        <v>55.666666666666657</v>
      </c>
      <c r="H12" s="13">
        <v>15.333333333333332</v>
      </c>
    </row>
    <row r="13" spans="1:8" ht="15" outlineLevel="1" thickBot="1" x14ac:dyDescent="0.35">
      <c r="B13" s="14" t="s">
        <v>78</v>
      </c>
      <c r="C13" s="14" t="s">
        <v>79</v>
      </c>
      <c r="D13" s="14">
        <v>0</v>
      </c>
      <c r="E13" s="14">
        <v>-19.5</v>
      </c>
      <c r="F13" s="14">
        <v>26</v>
      </c>
      <c r="G13" s="14">
        <v>19.5</v>
      </c>
      <c r="H13" s="14">
        <v>1E+30</v>
      </c>
    </row>
    <row r="14" spans="1:8" x14ac:dyDescent="0.3">
      <c r="B14" s="12"/>
      <c r="C14" s="12"/>
      <c r="D14" s="12"/>
      <c r="E14" s="12"/>
      <c r="F14" s="12"/>
      <c r="G14" s="12"/>
      <c r="H14" s="12"/>
    </row>
    <row r="16" spans="1:8" ht="15" thickBot="1" x14ac:dyDescent="0.35">
      <c r="A16" t="s">
        <v>67</v>
      </c>
    </row>
    <row r="17" spans="2:8" x14ac:dyDescent="0.3">
      <c r="B17" s="15"/>
      <c r="C17" s="15"/>
      <c r="D17" s="15" t="s">
        <v>58</v>
      </c>
      <c r="E17" s="15" t="s">
        <v>68</v>
      </c>
      <c r="F17" s="15" t="s">
        <v>70</v>
      </c>
      <c r="G17" s="15" t="s">
        <v>64</v>
      </c>
      <c r="H17" s="15" t="s">
        <v>64</v>
      </c>
    </row>
    <row r="18" spans="2:8" ht="15" thickBot="1" x14ac:dyDescent="0.35">
      <c r="B18" s="16" t="s">
        <v>56</v>
      </c>
      <c r="C18" s="16" t="s">
        <v>57</v>
      </c>
      <c r="D18" s="16" t="s">
        <v>59</v>
      </c>
      <c r="E18" s="16" t="s">
        <v>69</v>
      </c>
      <c r="F18" s="16" t="s">
        <v>71</v>
      </c>
      <c r="G18" s="16" t="s">
        <v>65</v>
      </c>
      <c r="H18" s="16" t="s">
        <v>66</v>
      </c>
    </row>
    <row r="19" spans="2:8" x14ac:dyDescent="0.3">
      <c r="B19" s="18" t="s">
        <v>102</v>
      </c>
      <c r="C19" s="17"/>
      <c r="D19" s="17"/>
      <c r="E19" s="17"/>
      <c r="F19" s="17"/>
      <c r="G19" s="17"/>
      <c r="H19" s="17"/>
    </row>
    <row r="20" spans="2:8" outlineLevel="1" x14ac:dyDescent="0.3">
      <c r="B20" s="13" t="s">
        <v>92</v>
      </c>
      <c r="C20" s="13" t="s">
        <v>93</v>
      </c>
      <c r="D20" s="13">
        <v>146.58333333333331</v>
      </c>
      <c r="E20" s="13">
        <v>0</v>
      </c>
      <c r="F20" s="13">
        <v>788</v>
      </c>
      <c r="G20" s="13">
        <v>1E+30</v>
      </c>
      <c r="H20" s="13">
        <v>641.41666666666674</v>
      </c>
    </row>
    <row r="21" spans="2:8" outlineLevel="1" x14ac:dyDescent="0.3">
      <c r="B21" s="13" t="s">
        <v>94</v>
      </c>
      <c r="C21" s="13" t="s">
        <v>95</v>
      </c>
      <c r="D21" s="13">
        <v>216.16666666666666</v>
      </c>
      <c r="E21" s="13">
        <v>0</v>
      </c>
      <c r="F21" s="13">
        <v>661</v>
      </c>
      <c r="G21" s="13">
        <v>1E+30</v>
      </c>
      <c r="H21" s="13">
        <v>444.83333333333337</v>
      </c>
    </row>
    <row r="22" spans="2:8" outlineLevel="1" x14ac:dyDescent="0.3">
      <c r="B22" s="13" t="s">
        <v>96</v>
      </c>
      <c r="C22" s="13" t="s">
        <v>97</v>
      </c>
      <c r="D22" s="13">
        <v>458</v>
      </c>
      <c r="E22" s="13">
        <v>4.416666666666667</v>
      </c>
      <c r="F22" s="13">
        <v>458</v>
      </c>
      <c r="G22" s="13">
        <v>365.21428571428572</v>
      </c>
      <c r="H22" s="13">
        <v>190.5</v>
      </c>
    </row>
    <row r="23" spans="2:8" outlineLevel="1" x14ac:dyDescent="0.3">
      <c r="B23" s="13" t="s">
        <v>98</v>
      </c>
      <c r="C23" s="13" t="s">
        <v>99</v>
      </c>
      <c r="D23" s="13">
        <v>578.91666666666663</v>
      </c>
      <c r="E23" s="13">
        <v>0</v>
      </c>
      <c r="F23" s="13">
        <v>1005</v>
      </c>
      <c r="G23" s="13">
        <v>1E+30</v>
      </c>
      <c r="H23" s="13">
        <v>426.08333333333337</v>
      </c>
    </row>
    <row r="24" spans="2:8" ht="15" outlineLevel="1" thickBot="1" x14ac:dyDescent="0.35">
      <c r="B24" s="14" t="s">
        <v>100</v>
      </c>
      <c r="C24" s="14" t="s">
        <v>101</v>
      </c>
      <c r="D24" s="14">
        <v>535</v>
      </c>
      <c r="E24" s="14">
        <v>6.9583333333333321</v>
      </c>
      <c r="F24" s="14">
        <v>535</v>
      </c>
      <c r="G24" s="14">
        <v>381</v>
      </c>
      <c r="H24" s="14">
        <v>351.8</v>
      </c>
    </row>
    <row r="25" spans="2:8" x14ac:dyDescent="0.3">
      <c r="B25" s="12"/>
      <c r="C25" s="12"/>
      <c r="D25" s="12"/>
      <c r="E25" s="12"/>
      <c r="F25" s="12"/>
      <c r="G25" s="12"/>
      <c r="H2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tabSelected="1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G8" sqref="G8"/>
    </sheetView>
  </sheetViews>
  <sheetFormatPr defaultColWidth="9.109375" defaultRowHeight="15" customHeight="1" x14ac:dyDescent="0.3"/>
  <cols>
    <col min="1" max="1" width="3" customWidth="1"/>
    <col min="2" max="2" width="30" customWidth="1"/>
    <col min="3" max="6" width="16" customWidth="1"/>
    <col min="7" max="9" width="18" customWidth="1"/>
  </cols>
  <sheetData>
    <row r="2" spans="2:9" ht="15" customHeight="1" x14ac:dyDescent="0.35">
      <c r="B2" s="1" t="s">
        <v>0</v>
      </c>
    </row>
    <row r="3" spans="2:9" ht="15" customHeight="1" x14ac:dyDescent="0.3">
      <c r="B3" t="s">
        <v>1</v>
      </c>
    </row>
    <row r="4" spans="2:9" ht="15" customHeight="1" x14ac:dyDescent="0.3">
      <c r="B4" t="s">
        <v>2</v>
      </c>
    </row>
    <row r="6" spans="2:9" ht="15" customHeight="1" x14ac:dyDescent="0.3">
      <c r="B6" s="2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/>
      <c r="H6" s="3"/>
      <c r="I6" s="3"/>
    </row>
    <row r="7" spans="2:9" ht="15" customHeight="1" x14ac:dyDescent="0.3">
      <c r="B7" s="2" t="s">
        <v>8</v>
      </c>
      <c r="C7" s="4">
        <v>39</v>
      </c>
      <c r="D7" s="4">
        <v>55</v>
      </c>
      <c r="E7" s="4">
        <v>36</v>
      </c>
      <c r="F7" s="4">
        <v>26</v>
      </c>
      <c r="G7" s="3" t="s">
        <v>9</v>
      </c>
      <c r="H7" s="3"/>
      <c r="I7" s="3"/>
    </row>
    <row r="8" spans="2:9" ht="15" customHeight="1" x14ac:dyDescent="0.3">
      <c r="B8" s="5" t="s">
        <v>10</v>
      </c>
      <c r="C8" s="6">
        <v>0</v>
      </c>
      <c r="D8" s="6">
        <v>73.291666666666657</v>
      </c>
      <c r="E8" s="6">
        <v>47.625</v>
      </c>
      <c r="F8" s="6">
        <v>0</v>
      </c>
      <c r="G8" s="6">
        <f>SUMPRODUCT(C7:F7,C8:F8)</f>
        <v>5745.5416666666661</v>
      </c>
      <c r="H8" s="7"/>
      <c r="I8" s="7"/>
    </row>
    <row r="9" spans="2:9" ht="15" customHeight="1" x14ac:dyDescent="0.3">
      <c r="C9" s="8"/>
      <c r="D9" s="8"/>
      <c r="E9" s="8"/>
      <c r="F9" s="8"/>
      <c r="G9" s="8"/>
      <c r="H9" s="8"/>
      <c r="I9" s="8"/>
    </row>
    <row r="10" spans="2:9" ht="15" customHeight="1" x14ac:dyDescent="0.3">
      <c r="C10" s="8"/>
      <c r="D10" s="8"/>
      <c r="E10" s="8"/>
      <c r="F10" s="8"/>
      <c r="G10" s="8"/>
      <c r="H10" s="8"/>
      <c r="I10" s="8"/>
    </row>
    <row r="11" spans="2:9" ht="15" customHeight="1" x14ac:dyDescent="0.3">
      <c r="B11" s="2" t="s">
        <v>11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12</v>
      </c>
      <c r="H11" s="3" t="s">
        <v>13</v>
      </c>
      <c r="I11" s="3" t="s">
        <v>14</v>
      </c>
    </row>
    <row r="12" spans="2:9" ht="15" customHeight="1" x14ac:dyDescent="0.3">
      <c r="B12" t="s">
        <v>15</v>
      </c>
      <c r="C12" s="9">
        <v>5</v>
      </c>
      <c r="D12" s="9">
        <v>2</v>
      </c>
      <c r="E12" s="9">
        <v>0</v>
      </c>
      <c r="F12" s="9">
        <v>5</v>
      </c>
      <c r="G12" s="9">
        <f t="shared" ref="G12:G16" si="0">SUMPRODUCT(C12:F12,$C$8:$F$8)</f>
        <v>146.58333333333331</v>
      </c>
      <c r="H12" s="9">
        <v>788</v>
      </c>
      <c r="I12" s="9">
        <f t="shared" ref="I12:I16" si="1">H12-G12</f>
        <v>641.41666666666674</v>
      </c>
    </row>
    <row r="13" spans="2:9" ht="15" customHeight="1" x14ac:dyDescent="0.3">
      <c r="B13" t="s">
        <v>16</v>
      </c>
      <c r="C13" s="9">
        <v>1</v>
      </c>
      <c r="D13" s="9">
        <v>1</v>
      </c>
      <c r="E13" s="9">
        <v>3</v>
      </c>
      <c r="F13" s="9">
        <v>6</v>
      </c>
      <c r="G13" s="9">
        <f t="shared" si="0"/>
        <v>216.16666666666666</v>
      </c>
      <c r="H13" s="9">
        <v>661</v>
      </c>
      <c r="I13" s="9">
        <f t="shared" si="1"/>
        <v>444.83333333333337</v>
      </c>
    </row>
    <row r="14" spans="2:9" ht="15" customHeight="1" x14ac:dyDescent="0.3">
      <c r="B14" t="s">
        <v>17</v>
      </c>
      <c r="C14" s="9">
        <v>6</v>
      </c>
      <c r="D14" s="9">
        <v>3</v>
      </c>
      <c r="E14" s="9">
        <v>5</v>
      </c>
      <c r="F14" s="9">
        <v>4</v>
      </c>
      <c r="G14" s="9">
        <f t="shared" si="0"/>
        <v>458</v>
      </c>
      <c r="H14" s="9">
        <v>458</v>
      </c>
      <c r="I14" s="9">
        <f t="shared" si="1"/>
        <v>0</v>
      </c>
    </row>
    <row r="15" spans="2:9" ht="15" customHeight="1" x14ac:dyDescent="0.3">
      <c r="B15" t="s">
        <v>18</v>
      </c>
      <c r="C15" s="9">
        <v>2</v>
      </c>
      <c r="D15" s="9">
        <v>4</v>
      </c>
      <c r="E15" s="9">
        <v>6</v>
      </c>
      <c r="F15" s="9">
        <v>0</v>
      </c>
      <c r="G15" s="9">
        <f t="shared" si="0"/>
        <v>578.91666666666663</v>
      </c>
      <c r="H15" s="9">
        <v>1005</v>
      </c>
      <c r="I15" s="9">
        <f t="shared" si="1"/>
        <v>426.08333333333337</v>
      </c>
    </row>
    <row r="16" spans="2:9" ht="15" customHeight="1" x14ac:dyDescent="0.3">
      <c r="B16" t="s">
        <v>19</v>
      </c>
      <c r="C16" s="9">
        <v>4</v>
      </c>
      <c r="D16" s="9">
        <v>6</v>
      </c>
      <c r="E16" s="9">
        <v>2</v>
      </c>
      <c r="F16" s="9">
        <v>4</v>
      </c>
      <c r="G16" s="9">
        <f t="shared" si="0"/>
        <v>535</v>
      </c>
      <c r="H16" s="9">
        <v>535</v>
      </c>
      <c r="I16" s="9">
        <f t="shared" si="1"/>
        <v>0</v>
      </c>
    </row>
    <row r="17" spans="2:9" ht="15" customHeight="1" x14ac:dyDescent="0.3">
      <c r="C17" s="8"/>
      <c r="D17" s="8"/>
      <c r="E17" s="8"/>
      <c r="F17" s="8"/>
      <c r="G17" s="8"/>
      <c r="H17" s="8"/>
      <c r="I17" s="8"/>
    </row>
    <row r="18" spans="2:9" ht="15" customHeight="1" x14ac:dyDescent="0.3">
      <c r="C18" s="8"/>
      <c r="D18" s="8"/>
      <c r="E18" s="8"/>
      <c r="F18" s="8"/>
      <c r="G18" s="8"/>
      <c r="H18" s="8"/>
      <c r="I18" s="8"/>
    </row>
    <row r="19" spans="2:9" ht="15" customHeight="1" x14ac:dyDescent="0.35">
      <c r="B19" s="1" t="s">
        <v>20</v>
      </c>
      <c r="C19" s="8"/>
      <c r="D19" s="8"/>
      <c r="E19" s="8"/>
      <c r="F19" s="8"/>
      <c r="G19" s="8"/>
      <c r="H19" s="8"/>
      <c r="I19" s="8"/>
    </row>
    <row r="20" spans="2:9" ht="15" customHeight="1" x14ac:dyDescent="0.3">
      <c r="B20" t="s">
        <v>19</v>
      </c>
      <c r="C20" s="9">
        <v>5</v>
      </c>
      <c r="D20" s="9">
        <v>762</v>
      </c>
      <c r="E20" s="8"/>
      <c r="F20" s="8"/>
      <c r="G20" s="8"/>
      <c r="H20" s="8"/>
      <c r="I20" s="8"/>
    </row>
    <row r="22" spans="2:9" ht="15" customHeight="1" x14ac:dyDescent="0.3">
      <c r="B22" t="s">
        <v>21</v>
      </c>
    </row>
    <row r="23" spans="2:9" ht="15" customHeight="1" x14ac:dyDescent="0.3">
      <c r="B23" t="s">
        <v>22</v>
      </c>
    </row>
    <row r="24" spans="2:9" ht="15" customHeight="1" x14ac:dyDescent="0.3">
      <c r="B24" t="s">
        <v>23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3" sqref="F13"/>
    </sheetView>
  </sheetViews>
  <sheetFormatPr defaultColWidth="9.109375" defaultRowHeight="15" customHeight="1" x14ac:dyDescent="0.3"/>
  <cols>
    <col min="1" max="1" width="33" customWidth="1"/>
    <col min="2" max="4" width="20" customWidth="1"/>
    <col min="5" max="6" width="24" customWidth="1"/>
  </cols>
  <sheetData>
    <row r="1" spans="1:6" ht="15" customHeight="1" x14ac:dyDescent="0.35">
      <c r="A1" s="1" t="s">
        <v>24</v>
      </c>
    </row>
    <row r="2" spans="1:6" ht="15" customHeight="1" x14ac:dyDescent="0.3">
      <c r="A2" t="s">
        <v>25</v>
      </c>
    </row>
    <row r="4" spans="1:6" ht="15" customHeight="1" x14ac:dyDescent="0.3">
      <c r="A4" s="2" t="s">
        <v>11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</row>
    <row r="5" spans="1:6" ht="15" customHeight="1" x14ac:dyDescent="0.3">
      <c r="A5" t="s">
        <v>15</v>
      </c>
      <c r="B5" s="10">
        <v>146.5833333333</v>
      </c>
      <c r="C5" s="10">
        <v>0</v>
      </c>
      <c r="D5" s="10">
        <v>788</v>
      </c>
      <c r="E5" t="s">
        <v>31</v>
      </c>
      <c r="F5" s="10">
        <v>641.41666666670005</v>
      </c>
    </row>
    <row r="6" spans="1:6" ht="15" customHeight="1" x14ac:dyDescent="0.3">
      <c r="A6" t="s">
        <v>16</v>
      </c>
      <c r="B6" s="10">
        <v>216.1666666667</v>
      </c>
      <c r="C6" s="10">
        <v>0</v>
      </c>
      <c r="D6" s="10">
        <v>661</v>
      </c>
      <c r="E6" t="s">
        <v>31</v>
      </c>
      <c r="F6" s="10">
        <v>444.8333333333</v>
      </c>
    </row>
    <row r="7" spans="1:6" ht="15" customHeight="1" x14ac:dyDescent="0.3">
      <c r="A7" t="s">
        <v>17</v>
      </c>
      <c r="B7" s="10">
        <v>458</v>
      </c>
      <c r="C7" s="10">
        <v>4.4166666667000003</v>
      </c>
      <c r="D7" s="10">
        <v>458</v>
      </c>
      <c r="E7" s="10">
        <v>365.21428571429999</v>
      </c>
      <c r="F7" s="10">
        <v>190.5</v>
      </c>
    </row>
    <row r="8" spans="1:6" ht="15" customHeight="1" x14ac:dyDescent="0.3">
      <c r="A8" t="s">
        <v>18</v>
      </c>
      <c r="B8" s="10">
        <v>578.91666666670005</v>
      </c>
      <c r="C8" s="10">
        <v>0</v>
      </c>
      <c r="D8" s="10">
        <v>1005</v>
      </c>
      <c r="E8" t="s">
        <v>31</v>
      </c>
      <c r="F8" s="10">
        <v>426.0833333333</v>
      </c>
    </row>
    <row r="9" spans="1:6" ht="15" customHeight="1" x14ac:dyDescent="0.3">
      <c r="A9" t="s">
        <v>19</v>
      </c>
      <c r="B9" s="10">
        <v>535</v>
      </c>
      <c r="C9" s="10">
        <v>6.9583333332999997</v>
      </c>
      <c r="D9" s="10">
        <v>535</v>
      </c>
      <c r="E9" s="10">
        <v>381</v>
      </c>
      <c r="F9" s="10">
        <v>351.8</v>
      </c>
    </row>
    <row r="11" spans="1:6" ht="15" customHeight="1" x14ac:dyDescent="0.3">
      <c r="A11" s="2" t="s">
        <v>32</v>
      </c>
      <c r="B11" s="2" t="s">
        <v>26</v>
      </c>
      <c r="C11" s="2" t="s">
        <v>33</v>
      </c>
      <c r="D11" s="2" t="s">
        <v>34</v>
      </c>
      <c r="E11" s="2" t="s">
        <v>29</v>
      </c>
      <c r="F11" s="2" t="s">
        <v>30</v>
      </c>
    </row>
    <row r="12" spans="1:6" ht="15" customHeight="1" x14ac:dyDescent="0.3">
      <c r="A12" t="s">
        <v>4</v>
      </c>
      <c r="B12" s="10">
        <v>0</v>
      </c>
      <c r="C12" s="10">
        <v>-15.333333333300001</v>
      </c>
      <c r="D12" s="10">
        <v>39</v>
      </c>
      <c r="E12" s="10">
        <v>15.333333333300001</v>
      </c>
      <c r="F12" t="s">
        <v>31</v>
      </c>
    </row>
    <row r="13" spans="1:6" ht="15" customHeight="1" x14ac:dyDescent="0.3">
      <c r="A13" t="s">
        <v>5</v>
      </c>
      <c r="B13" s="10">
        <v>73.291666666699996</v>
      </c>
      <c r="C13" s="10">
        <v>0</v>
      </c>
      <c r="D13" s="10">
        <v>55</v>
      </c>
      <c r="E13" s="10">
        <v>53</v>
      </c>
      <c r="F13" s="10">
        <v>33.4</v>
      </c>
    </row>
    <row r="14" spans="1:6" ht="15" customHeight="1" x14ac:dyDescent="0.3">
      <c r="A14" t="s">
        <v>6</v>
      </c>
      <c r="B14" s="10">
        <v>47.625</v>
      </c>
      <c r="C14" s="10">
        <v>0</v>
      </c>
      <c r="D14" s="10">
        <v>36</v>
      </c>
      <c r="E14" s="10">
        <v>55.666666666700003</v>
      </c>
      <c r="F14" s="10">
        <v>15.333333333300001</v>
      </c>
    </row>
    <row r="15" spans="1:6" ht="15" customHeight="1" x14ac:dyDescent="0.3">
      <c r="A15" t="s">
        <v>7</v>
      </c>
      <c r="B15" s="10">
        <v>0</v>
      </c>
      <c r="C15" s="10">
        <v>-19.5</v>
      </c>
      <c r="D15" s="10">
        <v>26</v>
      </c>
      <c r="E15" s="10">
        <v>19.5</v>
      </c>
      <c r="F15" t="s">
        <v>31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4" sqref="B14"/>
    </sheetView>
  </sheetViews>
  <sheetFormatPr defaultColWidth="9.109375" defaultRowHeight="15" customHeight="1" x14ac:dyDescent="0.3"/>
  <cols>
    <col min="1" max="1" width="27" customWidth="1"/>
    <col min="2" max="2" width="72" customWidth="1"/>
  </cols>
  <sheetData>
    <row r="1" spans="1:2" ht="15" customHeight="1" x14ac:dyDescent="0.3">
      <c r="A1" s="2" t="s">
        <v>35</v>
      </c>
      <c r="B1" s="2" t="s">
        <v>36</v>
      </c>
    </row>
    <row r="2" spans="1:2" ht="15" customHeight="1" x14ac:dyDescent="0.3">
      <c r="A2" t="s">
        <v>37</v>
      </c>
      <c r="B2" t="s">
        <v>38</v>
      </c>
    </row>
    <row r="3" spans="1:2" ht="15" customHeight="1" x14ac:dyDescent="0.3">
      <c r="A3" t="s">
        <v>39</v>
      </c>
      <c r="B3" t="s">
        <v>40</v>
      </c>
    </row>
    <row r="4" spans="1:2" ht="15" customHeight="1" x14ac:dyDescent="0.3">
      <c r="A4" t="s">
        <v>41</v>
      </c>
      <c r="B4" t="s">
        <v>42</v>
      </c>
    </row>
    <row r="5" spans="1:2" ht="15" customHeight="1" x14ac:dyDescent="0.3">
      <c r="A5" t="s">
        <v>43</v>
      </c>
      <c r="B5" t="s">
        <v>44</v>
      </c>
    </row>
    <row r="6" spans="1:2" ht="15" customHeight="1" x14ac:dyDescent="0.3">
      <c r="A6" t="s">
        <v>45</v>
      </c>
      <c r="B6" t="s">
        <v>46</v>
      </c>
    </row>
    <row r="7" spans="1:2" ht="15" customHeight="1" x14ac:dyDescent="0.3">
      <c r="A7" t="s">
        <v>47</v>
      </c>
      <c r="B7" t="s">
        <v>48</v>
      </c>
    </row>
    <row r="8" spans="1:2" ht="15" customHeight="1" x14ac:dyDescent="0.3">
      <c r="A8" t="s">
        <v>49</v>
      </c>
      <c r="B8" t="s">
        <v>50</v>
      </c>
    </row>
    <row r="9" spans="1:2" ht="15" customHeight="1" x14ac:dyDescent="0.3">
      <c r="A9" t="s">
        <v>51</v>
      </c>
      <c r="B9" t="s">
        <v>52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Отчет об устойчивости 1</vt:lpstr>
      <vt:lpstr>Отчет об устойчивости 2</vt:lpstr>
      <vt:lpstr>Модель</vt:lpstr>
      <vt:lpstr>Розрахунок стійкості</vt:lpstr>
      <vt:lpstr>Налаштування Solver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2026-10-01T14:53:33Z</dcterms:created>
  <dcterms:modified xsi:type="dcterms:W3CDTF">2026-10-09T08:53:00Z</dcterms:modified>
</cp:coreProperties>
</file>