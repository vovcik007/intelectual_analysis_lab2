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одель" sheetId="1" state="visible" r:id="rId1"/>
    <sheet xmlns:r="http://schemas.openxmlformats.org/officeDocument/2006/relationships" name="Розрахунок стійкості" sheetId="2" state="visible" r:id="rId2"/>
    <sheet xmlns:r="http://schemas.openxmlformats.org/officeDocument/2006/relationships" name="Налаштування Solv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17365D"/>
      <sz val="14"/>
    </font>
  </fonts>
  <fills count="4">
    <fill>
      <patternFill/>
    </fill>
    <fill>
      <patternFill patternType="gray125"/>
    </fill>
    <fill>
      <patternFill patternType="solid">
        <fgColor rgb="00DCEBFA"/>
      </patternFill>
    </fill>
    <fill>
      <patternFill patternType="solid">
        <fgColor rgb="00FFF0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0" fontId="1" fillId="3" borderId="0" pivotButton="0" quotePrefix="0" xfId="0"/>
    <xf numFmtId="164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4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2">
      <c r="B2" s="1" t="inlineStr">
        <is>
          <t>Лабораторна робота №2 — виробнича задача</t>
        </is>
      </c>
    </row>
    <row r="3">
      <c r="B3" t="inlineStr">
        <is>
          <t>Лопатін Володимир Дмитрович · ШІ-31 · варіант 12</t>
        </is>
      </c>
    </row>
    <row r="4">
      <c r="B4" t="inlineStr">
        <is>
          <t>«Друк-Сервіс»: максимум прибутку, тис. прим./тиждень</t>
        </is>
      </c>
    </row>
    <row r="6">
      <c r="B6" s="2" t="inlineStr">
        <is>
          <t>Вироби</t>
        </is>
      </c>
      <c r="C6" s="3" t="inlineStr">
        <is>
          <t>Буклет</t>
        </is>
      </c>
      <c r="D6" s="3" t="inlineStr">
        <is>
          <t>Каталог</t>
        </is>
      </c>
      <c r="E6" s="3" t="inlineStr">
        <is>
          <t>Календар</t>
        </is>
      </c>
      <c r="F6" s="3" t="inlineStr">
        <is>
          <t>Плакат</t>
        </is>
      </c>
      <c r="G6" s="3" t="n"/>
      <c r="H6" s="3" t="n"/>
      <c r="I6" s="3" t="n"/>
    </row>
    <row r="7">
      <c r="B7" s="2" t="inlineStr">
        <is>
          <t>Прибуток з одиниці</t>
        </is>
      </c>
      <c r="C7" s="4" t="n">
        <v>39</v>
      </c>
      <c r="D7" s="4" t="n">
        <v>55</v>
      </c>
      <c r="E7" s="4" t="n">
        <v>36</v>
      </c>
      <c r="F7" s="4" t="n">
        <v>26</v>
      </c>
      <c r="G7" s="3" t="inlineStr">
        <is>
          <t>Загальний прибуток</t>
        </is>
      </c>
      <c r="H7" s="3" t="n"/>
      <c r="I7" s="3" t="n"/>
    </row>
    <row r="8">
      <c r="B8" s="5" t="inlineStr">
        <is>
          <t>Випуск (змінні Solver)</t>
        </is>
      </c>
      <c r="C8" s="6" t="n">
        <v>0</v>
      </c>
      <c r="D8" s="6" t="n">
        <v>73.2916666667</v>
      </c>
      <c r="E8" s="6" t="n">
        <v>47.625</v>
      </c>
      <c r="F8" s="6" t="n">
        <v>0</v>
      </c>
      <c r="G8" s="6">
        <f>SUMPRODUCT(C7:F7,C8:F8)</f>
        <v/>
      </c>
      <c r="H8" s="7" t="n"/>
      <c r="I8" s="7" t="n"/>
    </row>
    <row r="9">
      <c r="C9" s="8" t="n"/>
      <c r="D9" s="8" t="n"/>
      <c r="E9" s="8" t="n"/>
      <c r="F9" s="8" t="n"/>
      <c r="G9" s="8" t="n"/>
      <c r="H9" s="8" t="n"/>
      <c r="I9" s="8" t="n"/>
    </row>
    <row r="10">
      <c r="C10" s="8" t="n"/>
      <c r="D10" s="8" t="n"/>
      <c r="E10" s="8" t="n"/>
      <c r="F10" s="8" t="n"/>
      <c r="G10" s="8" t="n"/>
      <c r="H10" s="8" t="n"/>
      <c r="I10" s="8" t="n"/>
    </row>
    <row r="11">
      <c r="B11" s="2" t="inlineStr">
        <is>
          <t>Ресурс</t>
        </is>
      </c>
      <c r="C11" s="3" t="inlineStr">
        <is>
          <t>Буклет</t>
        </is>
      </c>
      <c r="D11" s="3" t="inlineStr">
        <is>
          <t>Каталог</t>
        </is>
      </c>
      <c r="E11" s="3" t="inlineStr">
        <is>
          <t>Календар</t>
        </is>
      </c>
      <c r="F11" s="3" t="inlineStr">
        <is>
          <t>Плакат</t>
        </is>
      </c>
      <c r="G11" s="3" t="inlineStr">
        <is>
          <t>Використано</t>
        </is>
      </c>
      <c r="H11" s="3" t="inlineStr">
        <is>
          <t>Запас</t>
        </is>
      </c>
      <c r="I11" s="3" t="inlineStr">
        <is>
          <t>Залишок</t>
        </is>
      </c>
    </row>
    <row r="12">
      <c r="B12" t="inlineStr">
        <is>
          <t>Крейдований папір, кг</t>
        </is>
      </c>
      <c r="C12" s="9" t="n">
        <v>5</v>
      </c>
      <c r="D12" s="9" t="n">
        <v>2</v>
      </c>
      <c r="E12" s="9" t="n">
        <v>0</v>
      </c>
      <c r="F12" s="9" t="n">
        <v>5</v>
      </c>
      <c r="G12" s="9">
        <f>SUMPRODUCT(C12:F12,$C$8:$F$8)</f>
        <v/>
      </c>
      <c r="H12" s="9" t="n">
        <v>788</v>
      </c>
      <c r="I12" s="9">
        <f>H12-G12</f>
        <v/>
      </c>
    </row>
    <row r="13">
      <c r="B13" t="inlineStr">
        <is>
          <t>Офсетний папір, кг</t>
        </is>
      </c>
      <c r="C13" s="9" t="n">
        <v>1</v>
      </c>
      <c r="D13" s="9" t="n">
        <v>1</v>
      </c>
      <c r="E13" s="9" t="n">
        <v>3</v>
      </c>
      <c r="F13" s="9" t="n">
        <v>6</v>
      </c>
      <c r="G13" s="9">
        <f>SUMPRODUCT(C13:F13,$C$8:$F$8)</f>
        <v/>
      </c>
      <c r="H13" s="9" t="n">
        <v>661</v>
      </c>
      <c r="I13" s="9">
        <f>H13-G13</f>
        <v/>
      </c>
    </row>
    <row r="14">
      <c r="B14" t="inlineStr">
        <is>
          <t>Фарба, кг</t>
        </is>
      </c>
      <c r="C14" s="9" t="n">
        <v>6</v>
      </c>
      <c r="D14" s="9" t="n">
        <v>3</v>
      </c>
      <c r="E14" s="9" t="n">
        <v>5</v>
      </c>
      <c r="F14" s="9" t="n">
        <v>4</v>
      </c>
      <c r="G14" s="9">
        <f>SUMPRODUCT(C14:F14,$C$8:$F$8)</f>
        <v/>
      </c>
      <c r="H14" s="9" t="n">
        <v>458</v>
      </c>
      <c r="I14" s="9">
        <f>H14-G14</f>
        <v/>
      </c>
    </row>
    <row r="15">
      <c r="B15" t="inlineStr">
        <is>
          <t>Друкарська машина, год</t>
        </is>
      </c>
      <c r="C15" s="9" t="n">
        <v>2</v>
      </c>
      <c r="D15" s="9" t="n">
        <v>4</v>
      </c>
      <c r="E15" s="9" t="n">
        <v>6</v>
      </c>
      <c r="F15" s="9" t="n">
        <v>0</v>
      </c>
      <c r="G15" s="9">
        <f>SUMPRODUCT(C15:F15,$C$8:$F$8)</f>
        <v/>
      </c>
      <c r="H15" s="9" t="n">
        <v>1005</v>
      </c>
      <c r="I15" s="9">
        <f>H15-G15</f>
        <v/>
      </c>
    </row>
    <row r="16">
      <c r="B16" t="inlineStr">
        <is>
          <t>Різка й фальцювання, год</t>
        </is>
      </c>
      <c r="C16" s="9" t="n">
        <v>4</v>
      </c>
      <c r="D16" s="9" t="n">
        <v>6</v>
      </c>
      <c r="E16" s="9" t="n">
        <v>2</v>
      </c>
      <c r="F16" s="9" t="n">
        <v>4</v>
      </c>
      <c r="G16" s="9">
        <f>SUMPRODUCT(C16:F16,$C$8:$F$8)</f>
        <v/>
      </c>
      <c r="H16" s="9" t="n">
        <v>535</v>
      </c>
      <c r="I16" s="9">
        <f>H16-G16</f>
        <v/>
      </c>
    </row>
    <row r="17">
      <c r="C17" s="8" t="n"/>
      <c r="D17" s="8" t="n"/>
      <c r="E17" s="8" t="n"/>
      <c r="F17" s="8" t="n"/>
      <c r="G17" s="8" t="n"/>
      <c r="H17" s="8" t="n"/>
      <c r="I17" s="8" t="n"/>
    </row>
    <row r="18">
      <c r="C18" s="8" t="n"/>
      <c r="D18" s="8" t="n"/>
      <c r="E18" s="8" t="n"/>
      <c r="F18" s="8" t="n"/>
      <c r="G18" s="8" t="n"/>
      <c r="H18" s="8" t="n"/>
      <c r="I18" s="8" t="n"/>
    </row>
    <row r="19">
      <c r="B19" s="1" t="inlineStr">
        <is>
          <t>Пропозиція постачальника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B20" t="inlineStr">
        <is>
          <t>Різка й фальцювання, год</t>
        </is>
      </c>
      <c r="C20" s="9" t="n">
        <v>5</v>
      </c>
      <c r="D20" s="9" t="n">
        <v>762</v>
      </c>
      <c r="E20" s="8" t="n"/>
      <c r="F20" s="8" t="n"/>
      <c r="G20" s="8" t="n"/>
      <c r="H20" s="8" t="n"/>
      <c r="I20" s="8" t="n"/>
    </row>
    <row r="22">
      <c r="B22" t="inlineStr">
        <is>
          <t>Solver: максимізувати G8, змінюючи C8:F8; G12:G16 &lt;= H12:H16; C8:F8 &gt;= 0; Simplex LP.</t>
        </is>
      </c>
    </row>
    <row r="23">
      <c r="B23" t="inlineStr">
        <is>
          <t>Звіт про стійкість формується Excel Solver на окремому аркуші.</t>
        </is>
      </c>
    </row>
    <row r="24">
      <c r="B24" t="inlineStr">
        <is>
          <t>Поточні значення C8:F8 отримано незалежно в Python; запустіть Solver для нативного звіту.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20" customWidth="1" min="3" max="3"/>
    <col width="20" customWidth="1" min="4" max="4"/>
    <col width="24" customWidth="1" min="5" max="5"/>
    <col width="24" customWidth="1" min="6" max="6"/>
  </cols>
  <sheetData>
    <row r="1">
      <c r="A1" s="1" t="inlineStr">
        <is>
          <t>Розрахунок стійкості (Python LP, не нативний звіт Excel Solver)</t>
        </is>
      </c>
    </row>
    <row r="2">
      <c r="A2" t="inlineStr">
        <is>
          <t>Відтворено з оптимального базису; числа слід звірити з нативним звітом Solver.</t>
        </is>
      </c>
    </row>
    <row r="4">
      <c r="A4" s="2" t="inlineStr">
        <is>
          <t>Ресурс</t>
        </is>
      </c>
      <c r="B4" s="2" t="inlineStr">
        <is>
          <t>Кінцеве значення</t>
        </is>
      </c>
      <c r="C4" s="2" t="inlineStr">
        <is>
          <t>Тіньова ціна</t>
        </is>
      </c>
      <c r="D4" s="2" t="inlineStr">
        <is>
          <t>Права частина</t>
        </is>
      </c>
      <c r="E4" s="2" t="inlineStr">
        <is>
          <t>Допустиме збільшення</t>
        </is>
      </c>
      <c r="F4" s="2" t="inlineStr">
        <is>
          <t>Допустиме зменшення</t>
        </is>
      </c>
    </row>
    <row r="5">
      <c r="A5" t="inlineStr">
        <is>
          <t>Крейдований папір, кг</t>
        </is>
      </c>
      <c r="B5" s="10" t="n">
        <v>146.5833333333</v>
      </c>
      <c r="C5" s="10" t="n">
        <v>0</v>
      </c>
      <c r="D5" s="10" t="n">
        <v>788</v>
      </c>
      <c r="E5" t="inlineStr">
        <is>
          <t>∞</t>
        </is>
      </c>
      <c r="F5" s="10" t="n">
        <v>641.4166666667001</v>
      </c>
    </row>
    <row r="6">
      <c r="A6" t="inlineStr">
        <is>
          <t>Офсетний папір, кг</t>
        </is>
      </c>
      <c r="B6" s="10" t="n">
        <v>216.1666666667</v>
      </c>
      <c r="C6" s="10" t="n">
        <v>0</v>
      </c>
      <c r="D6" s="10" t="n">
        <v>661</v>
      </c>
      <c r="E6" t="inlineStr">
        <is>
          <t>∞</t>
        </is>
      </c>
      <c r="F6" s="10" t="n">
        <v>444.8333333333</v>
      </c>
    </row>
    <row r="7">
      <c r="A7" t="inlineStr">
        <is>
          <t>Фарба, кг</t>
        </is>
      </c>
      <c r="B7" s="10" t="n">
        <v>458</v>
      </c>
      <c r="C7" s="10" t="n">
        <v>4.4166666667</v>
      </c>
      <c r="D7" s="10" t="n">
        <v>458</v>
      </c>
      <c r="E7" s="10" t="n">
        <v>365.2142857143</v>
      </c>
      <c r="F7" s="10" t="n">
        <v>190.5</v>
      </c>
    </row>
    <row r="8">
      <c r="A8" t="inlineStr">
        <is>
          <t>Друкарська машина, год</t>
        </is>
      </c>
      <c r="B8" s="10" t="n">
        <v>578.9166666667001</v>
      </c>
      <c r="C8" s="10" t="n">
        <v>0</v>
      </c>
      <c r="D8" s="10" t="n">
        <v>1005</v>
      </c>
      <c r="E8" t="inlineStr">
        <is>
          <t>∞</t>
        </is>
      </c>
      <c r="F8" s="10" t="n">
        <v>426.0833333333</v>
      </c>
    </row>
    <row r="9">
      <c r="A9" t="inlineStr">
        <is>
          <t>Різка й фальцювання, год</t>
        </is>
      </c>
      <c r="B9" s="10" t="n">
        <v>535</v>
      </c>
      <c r="C9" s="10" t="n">
        <v>6.9583333333</v>
      </c>
      <c r="D9" s="10" t="n">
        <v>535</v>
      </c>
      <c r="E9" s="10" t="n">
        <v>381</v>
      </c>
      <c r="F9" s="10" t="n">
        <v>351.8</v>
      </c>
    </row>
    <row r="10"/>
    <row r="11">
      <c r="A11" s="2" t="inlineStr">
        <is>
          <t>Виріб</t>
        </is>
      </c>
      <c r="B11" s="2" t="inlineStr">
        <is>
          <t>Кінцеве значення</t>
        </is>
      </c>
      <c r="C11" s="2" t="inlineStr">
        <is>
          <t>Зведена вартість</t>
        </is>
      </c>
      <c r="D11" s="2" t="inlineStr">
        <is>
          <t>Цільовий коефіцієнт</t>
        </is>
      </c>
      <c r="E11" s="2" t="inlineStr">
        <is>
          <t>Допустиме збільшення</t>
        </is>
      </c>
      <c r="F11" s="2" t="inlineStr">
        <is>
          <t>Допустиме зменшення</t>
        </is>
      </c>
    </row>
    <row r="12">
      <c r="A12" t="inlineStr">
        <is>
          <t>Буклет</t>
        </is>
      </c>
      <c r="B12" s="10" t="n">
        <v>0</v>
      </c>
      <c r="C12" s="10" t="n">
        <v>-15.3333333333</v>
      </c>
      <c r="D12" s="10" t="n">
        <v>39</v>
      </c>
      <c r="E12" s="10" t="n">
        <v>15.3333333333</v>
      </c>
      <c r="F12" t="inlineStr">
        <is>
          <t>∞</t>
        </is>
      </c>
    </row>
    <row r="13">
      <c r="A13" t="inlineStr">
        <is>
          <t>Каталог</t>
        </is>
      </c>
      <c r="B13" s="10" t="n">
        <v>73.2916666667</v>
      </c>
      <c r="C13" s="10" t="n">
        <v>0</v>
      </c>
      <c r="D13" s="10" t="n">
        <v>55</v>
      </c>
      <c r="E13" s="10" t="n">
        <v>53</v>
      </c>
      <c r="F13" s="10" t="n">
        <v>33.4</v>
      </c>
    </row>
    <row r="14">
      <c r="A14" t="inlineStr">
        <is>
          <t>Календар</t>
        </is>
      </c>
      <c r="B14" s="10" t="n">
        <v>47.625</v>
      </c>
      <c r="C14" s="10" t="n">
        <v>0</v>
      </c>
      <c r="D14" s="10" t="n">
        <v>36</v>
      </c>
      <c r="E14" s="10" t="n">
        <v>55.6666666667</v>
      </c>
      <c r="F14" s="10" t="n">
        <v>15.3333333333</v>
      </c>
    </row>
    <row r="15">
      <c r="A15" t="inlineStr">
        <is>
          <t>Плакат</t>
        </is>
      </c>
      <c r="B15" s="10" t="n">
        <v>0</v>
      </c>
      <c r="C15" s="10" t="n">
        <v>-19.5</v>
      </c>
      <c r="D15" s="10" t="n">
        <v>26</v>
      </c>
      <c r="E15" s="10" t="n">
        <v>19.5</v>
      </c>
      <c r="F15" t="inlineStr">
        <is>
          <t>∞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72" customWidth="1" min="2" max="2"/>
  </cols>
  <sheetData>
    <row r="1">
      <c r="A1" s="2" t="inlineStr">
        <is>
          <t>Параметр</t>
        </is>
      </c>
      <c r="B1" s="2" t="inlineStr">
        <is>
          <t>Значення</t>
        </is>
      </c>
    </row>
    <row r="2">
      <c r="A2" t="inlineStr">
        <is>
          <t>Цільова клітинка</t>
        </is>
      </c>
      <c r="B2" t="inlineStr">
        <is>
          <t>Модель!$G$8</t>
        </is>
      </c>
    </row>
    <row r="3">
      <c r="A3" t="inlineStr">
        <is>
          <t>Оптимізація</t>
        </is>
      </c>
      <c r="B3" t="inlineStr">
        <is>
          <t>Максимум</t>
        </is>
      </c>
    </row>
    <row r="4">
      <c r="A4" t="inlineStr">
        <is>
          <t>Змінні клітинки</t>
        </is>
      </c>
      <c r="B4" t="inlineStr">
        <is>
          <t>Модель!$C$8:$F$8</t>
        </is>
      </c>
    </row>
    <row r="5">
      <c r="A5" t="inlineStr">
        <is>
          <t>Ресурсні обмеження</t>
        </is>
      </c>
      <c r="B5" t="inlineStr">
        <is>
          <t>Модель!$G$12:$G$16 &lt;= Модель!$H$12:$H$16</t>
        </is>
      </c>
    </row>
    <row r="6">
      <c r="A6" t="inlineStr">
        <is>
          <t>Невід'ємність</t>
        </is>
      </c>
      <c r="B6" t="inlineStr">
        <is>
          <t>Модель!$C$8:$F$8 &gt;= 0</t>
        </is>
      </c>
    </row>
    <row r="7">
      <c r="A7" t="inlineStr">
        <is>
          <t>Метод</t>
        </is>
      </c>
      <c r="B7" t="inlineStr">
        <is>
          <t>Симплекс-метод для лінійних задач (Simplex LP)</t>
        </is>
      </c>
    </row>
    <row r="8">
      <c r="A8" t="inlineStr">
        <is>
          <t>Після розв'язання</t>
        </is>
      </c>
      <c r="B8" t="inlineStr">
        <is>
          <t>Зберегти план і обрати «Звіт про стійкість»</t>
        </is>
      </c>
    </row>
    <row r="9">
      <c r="A9" t="inlineStr">
        <is>
          <t>Скріншот діалогу</t>
        </is>
      </c>
      <c r="B9" t="inlineStr">
        <is>
          <t>Потрібно додати вручну після запуску Excel Solver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2026-10-01T14:53:33Z</dcterms:created>
  <dcterms:modified xmlns:dcterms="http://purl.org/dc/terms/" xmlns:xsi="http://www.w3.org/2001/XMLSchema-instance" xsi:type="dcterms:W3CDTF">2026-10-01T14:53:33Z</dcterms:modified>
</cp:coreProperties>
</file>